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mazzanti/progetti/JuliaProjects/BB84_Protocol/mismatch_ratio_experiments/"/>
    </mc:Choice>
  </mc:AlternateContent>
  <xr:revisionPtr revIDLastSave="0" documentId="13_ncr:1_{6ACEC7F9-7544-0D4A-A795-491A9D3E1C69}" xr6:coauthVersionLast="47" xr6:coauthVersionMax="47" xr10:uidLastSave="{00000000-0000-0000-0000-000000000000}"/>
  <bookViews>
    <workbookView xWindow="1080" yWindow="820" windowWidth="28040" windowHeight="17140" activeTab="4" xr2:uid="{F8CDD1C1-2F0A-DF42-BA11-AEAF0BF58802}"/>
  </bookViews>
  <sheets>
    <sheet name="mismatch_ratios_ideal" sheetId="2" r:id="rId1"/>
    <sheet name="mismatch_ratios_bitflip" sheetId="3" r:id="rId2"/>
    <sheet name="mismatch_ratios_phaseflip" sheetId="4" r:id="rId3"/>
    <sheet name="mismatch_ratios_bitphaseflip" sheetId="5" r:id="rId4"/>
    <sheet name="Foglio1" sheetId="1" r:id="rId5"/>
  </sheets>
  <definedNames>
    <definedName name="ExternalData_1" localSheetId="3" hidden="1">mismatch_ratios_bitphaseflip!$A$1:$D$12</definedName>
    <definedName name="ExternalData_1" localSheetId="0" hidden="1">mismatch_ratios_ideal!$A$1:$D$12</definedName>
    <definedName name="ExternalData_2" localSheetId="1" hidden="1">mismatch_ratios_bitflip!$A$1:$D$12</definedName>
    <definedName name="ExternalData_2" localSheetId="2" hidden="1">mismatch_ratios_phaseflip!$A$1:$D$12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E1507B-B3C1-1F42-9355-2C803C03766C}" keepAlive="1" name="Query - mismatch_ratios_bitflip" description="Connection to the 'mismatch_ratios_bitflip' query in the workbook." type="5" refreshedVersion="8" background="1" saveData="1">
    <dbPr connection="Provider=Microsoft.Mashup.OleDb.1;Data Source=$Workbook$;Location=mismatch_ratios_bitflip;Extended Properties=&quot;&quot;" command="SELECT * FROM [mismatch_ratios_bitflip]"/>
  </connection>
  <connection id="2" xr16:uid="{F5EDD60F-F66E-7A4F-B468-86405425E08B}" keepAlive="1" name="Query - mismatch_ratios_bitphaseflip" description="Connection to the 'mismatch_ratios_bitphaseflip' query in the workbook." type="5" refreshedVersion="8" background="1" saveData="1">
    <dbPr connection="Provider=Microsoft.Mashup.OleDb.1;Data Source=$Workbook$;Location=mismatch_ratios_bitphaseflip;Extended Properties=&quot;&quot;" command="SELECT * FROM [mismatch_ratios_bitphaseflip]"/>
  </connection>
  <connection id="3" xr16:uid="{680901E8-DA73-F646-9EC0-CB213AF16C4B}" keepAlive="1" name="Query - mismatch_ratios_ideal" description="Connection to the 'mismatch_ratios_ideal' query in the workbook." type="5" refreshedVersion="8" background="1" saveData="1">
    <dbPr connection="Provider=Microsoft.Mashup.OleDb.1;Data Source=$Workbook$;Location=mismatch_ratios_ideal;Extended Properties=&quot;&quot;" command="SELECT * FROM [mismatch_ratios_ideal]"/>
  </connection>
  <connection id="4" xr16:uid="{EB020974-570E-2A49-9168-455872E21D72}" keepAlive="1" name="Query - mismatch_ratios_phaseflip" description="Connection to the 'mismatch_ratios_phaseflip' query in the workbook." type="5" refreshedVersion="8" background="1" saveData="1">
    <dbPr connection="Provider=Microsoft.Mashup.OleDb.1;Data Source=$Workbook$;Location=mismatch_ratios_phaseflip;Extended Properties=&quot;&quot;" command="SELECT * FROM [mismatch_ratios_phaseflip]"/>
  </connection>
</connections>
</file>

<file path=xl/sharedStrings.xml><?xml version="1.0" encoding="utf-8"?>
<sst xmlns="http://schemas.openxmlformats.org/spreadsheetml/2006/main" count="16" uniqueCount="4">
  <si>
    <t>p</t>
  </si>
  <si>
    <t>global_R_miss_mean</t>
  </si>
  <si>
    <t>Z_R_miss_mean</t>
  </si>
  <si>
    <t>X_R_miss_mean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</si>
</sst>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mismatch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ideal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mismatch_ratios_ideal!$A$2:$A$12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mismatch_ratios_ideal!$B$2:$B$12</c:f>
              <c:numCache>
                <c:formatCode>General</c:formatCode>
                <c:ptCount val="11"/>
                <c:pt idx="0">
                  <c:v>0.24941663</c:v>
                </c:pt>
                <c:pt idx="1">
                  <c:v>0.25000349999999999</c:v>
                </c:pt>
                <c:pt idx="2">
                  <c:v>0.24960992000000001</c:v>
                </c:pt>
                <c:pt idx="3">
                  <c:v>0.25000655999999999</c:v>
                </c:pt>
                <c:pt idx="4">
                  <c:v>0.24915983</c:v>
                </c:pt>
                <c:pt idx="5">
                  <c:v>0.24823002999999999</c:v>
                </c:pt>
                <c:pt idx="6">
                  <c:v>0.24933675999999999</c:v>
                </c:pt>
                <c:pt idx="7">
                  <c:v>0.25079662000000003</c:v>
                </c:pt>
                <c:pt idx="8">
                  <c:v>0.25107689999999999</c:v>
                </c:pt>
                <c:pt idx="9">
                  <c:v>0.24943989999999999</c:v>
                </c:pt>
                <c:pt idx="10">
                  <c:v>0.25024350000000001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92-E445-8E12-4583FBE35E3C}"/>
            </c:ext>
          </c:extLst>
        </c:ser>
        <c:ser>
          <c:idx val="1"/>
          <c:order val="1"/>
          <c:tx>
            <c:v>bitflip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mismatch_ratios_bitflip!$A$2:$A$12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mismatch_ratios_bitflip!$B$2:$B$12</c:f>
              <c:numCache>
                <c:formatCode>General</c:formatCode>
                <c:ptCount val="11"/>
                <c:pt idx="0">
                  <c:v>0.24949001000000001</c:v>
                </c:pt>
                <c:pt idx="1">
                  <c:v>0.27475349999999998</c:v>
                </c:pt>
                <c:pt idx="2">
                  <c:v>0.30019699999999999</c:v>
                </c:pt>
                <c:pt idx="3">
                  <c:v>0.32510339999999999</c:v>
                </c:pt>
                <c:pt idx="4">
                  <c:v>0.35042676</c:v>
                </c:pt>
                <c:pt idx="5">
                  <c:v>0.37506687999999999</c:v>
                </c:pt>
                <c:pt idx="6">
                  <c:v>0.40127993000000001</c:v>
                </c:pt>
                <c:pt idx="7">
                  <c:v>0.42589660000000001</c:v>
                </c:pt>
                <c:pt idx="8">
                  <c:v>0.44993988000000001</c:v>
                </c:pt>
                <c:pt idx="9">
                  <c:v>0.47563699999999998</c:v>
                </c:pt>
                <c:pt idx="10">
                  <c:v>0.49995336000000001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92-E445-8E12-4583FBE35E3C}"/>
            </c:ext>
          </c:extLst>
        </c:ser>
        <c:ser>
          <c:idx val="2"/>
          <c:order val="2"/>
          <c:tx>
            <c:v>phaseflip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mismatch_ratios_phaseflip!$A$2:$A$12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mismatch_ratios_phaseflip!$B$2:$B$12</c:f>
              <c:numCache>
                <c:formatCode>General</c:formatCode>
                <c:ptCount val="11"/>
                <c:pt idx="0">
                  <c:v>0.24950673000000001</c:v>
                </c:pt>
                <c:pt idx="1">
                  <c:v>0.27522665000000002</c:v>
                </c:pt>
                <c:pt idx="2">
                  <c:v>0.29773351999999997</c:v>
                </c:pt>
                <c:pt idx="3">
                  <c:v>0.32445010000000002</c:v>
                </c:pt>
                <c:pt idx="4">
                  <c:v>0.35152006000000002</c:v>
                </c:pt>
                <c:pt idx="5">
                  <c:v>0.37541667000000001</c:v>
                </c:pt>
                <c:pt idx="6">
                  <c:v>0.40148645999999999</c:v>
                </c:pt>
                <c:pt idx="7">
                  <c:v>0.42731646000000001</c:v>
                </c:pt>
                <c:pt idx="8">
                  <c:v>0.45025673999999999</c:v>
                </c:pt>
                <c:pt idx="9">
                  <c:v>0.47581309999999999</c:v>
                </c:pt>
                <c:pt idx="10">
                  <c:v>0.50091339999999995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192-E445-8E12-4583FBE35E3C}"/>
            </c:ext>
          </c:extLst>
        </c:ser>
        <c:ser>
          <c:idx val="3"/>
          <c:order val="3"/>
          <c:tx>
            <c:v>bitphaseflip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mismatch_ratios_bitphaseflip!$A$2:$A$12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mismatch_ratios_bitphaseflip!$B$2:$B$12</c:f>
              <c:numCache>
                <c:formatCode>General</c:formatCode>
                <c:ptCount val="11"/>
                <c:pt idx="0">
                  <c:v>0.24791326</c:v>
                </c:pt>
                <c:pt idx="1">
                  <c:v>0.30017660000000002</c:v>
                </c:pt>
                <c:pt idx="2">
                  <c:v>0.35213348</c:v>
                </c:pt>
                <c:pt idx="3">
                  <c:v>0.39801994000000002</c:v>
                </c:pt>
                <c:pt idx="4">
                  <c:v>0.44839686000000001</c:v>
                </c:pt>
                <c:pt idx="5">
                  <c:v>0.49988356</c:v>
                </c:pt>
                <c:pt idx="6">
                  <c:v>0.5502399</c:v>
                </c:pt>
                <c:pt idx="7">
                  <c:v>0.60168034000000004</c:v>
                </c:pt>
                <c:pt idx="8">
                  <c:v>0.65057695000000004</c:v>
                </c:pt>
                <c:pt idx="9">
                  <c:v>0.69885324999999998</c:v>
                </c:pt>
                <c:pt idx="10">
                  <c:v>0.75057019999999997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192-E445-8E12-4583FBE35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868336"/>
        <c:axId val="467746800"/>
      </c:scatterChart>
      <c:valAx>
        <c:axId val="46786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467746800"/>
        <c:crosses val="autoZero"/>
        <c:crossBetween val="midCat"/>
      </c:valAx>
      <c:valAx>
        <c:axId val="46774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467868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 mismatch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ideal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mismatch_ratios_ideal!$A$2:$A$12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mismatch_ratios_ideal!$C$2:$C$12</c:f>
              <c:numCache>
                <c:formatCode>General</c:formatCode>
                <c:ptCount val="11"/>
                <c:pt idx="0">
                  <c:v>0.24961179999999999</c:v>
                </c:pt>
                <c:pt idx="1">
                  <c:v>0.25000234999999998</c:v>
                </c:pt>
                <c:pt idx="2">
                  <c:v>0.25011715000000001</c:v>
                </c:pt>
                <c:pt idx="3">
                  <c:v>0.25102940000000001</c:v>
                </c:pt>
                <c:pt idx="4">
                  <c:v>0.2505617</c:v>
                </c:pt>
                <c:pt idx="5">
                  <c:v>0.2495724</c:v>
                </c:pt>
                <c:pt idx="6">
                  <c:v>0.24976528000000001</c:v>
                </c:pt>
                <c:pt idx="7">
                  <c:v>0.25038110000000002</c:v>
                </c:pt>
                <c:pt idx="8">
                  <c:v>0.25028220000000001</c:v>
                </c:pt>
                <c:pt idx="9">
                  <c:v>0.25003648000000001</c:v>
                </c:pt>
                <c:pt idx="10">
                  <c:v>0.25029653000000002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4E-5E4D-8609-5A15D676F970}"/>
            </c:ext>
          </c:extLst>
        </c:ser>
        <c:ser>
          <c:idx val="1"/>
          <c:order val="1"/>
          <c:tx>
            <c:v>bitflip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mismatch_ratios_bitflip!$A$2:$A$12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mismatch_ratios_bitflip!$C$2:$C$12</c:f>
              <c:numCache>
                <c:formatCode>General</c:formatCode>
                <c:ptCount val="11"/>
                <c:pt idx="0">
                  <c:v>0.24903831000000001</c:v>
                </c:pt>
                <c:pt idx="1">
                  <c:v>0.29965492999999999</c:v>
                </c:pt>
                <c:pt idx="2">
                  <c:v>0.34965489999999999</c:v>
                </c:pt>
                <c:pt idx="3">
                  <c:v>0.40215962999999999</c:v>
                </c:pt>
                <c:pt idx="4">
                  <c:v>0.45094835999999999</c:v>
                </c:pt>
                <c:pt idx="5">
                  <c:v>0.49981274999999997</c:v>
                </c:pt>
                <c:pt idx="6">
                  <c:v>0.55000143999999995</c:v>
                </c:pt>
                <c:pt idx="7">
                  <c:v>0.60060360000000002</c:v>
                </c:pt>
                <c:pt idx="8">
                  <c:v>0.65080039999999995</c:v>
                </c:pt>
                <c:pt idx="9">
                  <c:v>0.70225274999999998</c:v>
                </c:pt>
                <c:pt idx="10">
                  <c:v>0.74958323999999998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4E-5E4D-8609-5A15D676F970}"/>
            </c:ext>
          </c:extLst>
        </c:ser>
        <c:ser>
          <c:idx val="2"/>
          <c:order val="2"/>
          <c:tx>
            <c:v>phaseflip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mismatch_ratios_phaseflip!$A$2:$A$12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mismatch_ratios_phaseflip!$C$2:$C$12</c:f>
              <c:numCache>
                <c:formatCode>General</c:formatCode>
                <c:ptCount val="11"/>
                <c:pt idx="0">
                  <c:v>0.24985080000000001</c:v>
                </c:pt>
                <c:pt idx="1">
                  <c:v>0.25103015000000001</c:v>
                </c:pt>
                <c:pt idx="2">
                  <c:v>0.24796346999999999</c:v>
                </c:pt>
                <c:pt idx="3">
                  <c:v>0.24997345000000001</c:v>
                </c:pt>
                <c:pt idx="4">
                  <c:v>0.25156528</c:v>
                </c:pt>
                <c:pt idx="5">
                  <c:v>0.24974284999999999</c:v>
                </c:pt>
                <c:pt idx="6">
                  <c:v>0.25115746</c:v>
                </c:pt>
                <c:pt idx="7">
                  <c:v>0.25166050000000001</c:v>
                </c:pt>
                <c:pt idx="8">
                  <c:v>0.24991380999999999</c:v>
                </c:pt>
                <c:pt idx="9">
                  <c:v>0.25084190000000001</c:v>
                </c:pt>
                <c:pt idx="10">
                  <c:v>0.25073596999999997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B4E-5E4D-8609-5A15D676F970}"/>
            </c:ext>
          </c:extLst>
        </c:ser>
        <c:ser>
          <c:idx val="3"/>
          <c:order val="3"/>
          <c:tx>
            <c:v>bitphaseflip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mismatch_ratios_bitphaseflip!$A$2:$A$12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mismatch_ratios_bitphaseflip!$C$2:$C$12</c:f>
              <c:numCache>
                <c:formatCode>General</c:formatCode>
                <c:ptCount val="11"/>
                <c:pt idx="0">
                  <c:v>0.24869401999999999</c:v>
                </c:pt>
                <c:pt idx="1">
                  <c:v>0.30087986999999999</c:v>
                </c:pt>
                <c:pt idx="2">
                  <c:v>0.35087787999999998</c:v>
                </c:pt>
                <c:pt idx="3">
                  <c:v>0.39787790000000001</c:v>
                </c:pt>
                <c:pt idx="4">
                  <c:v>0.44816420000000001</c:v>
                </c:pt>
                <c:pt idx="5">
                  <c:v>0.49937680000000001</c:v>
                </c:pt>
                <c:pt idx="6">
                  <c:v>0.54979409999999995</c:v>
                </c:pt>
                <c:pt idx="7">
                  <c:v>0.60190909999999997</c:v>
                </c:pt>
                <c:pt idx="8">
                  <c:v>0.65156740000000002</c:v>
                </c:pt>
                <c:pt idx="9">
                  <c:v>0.70015669999999997</c:v>
                </c:pt>
                <c:pt idx="10">
                  <c:v>0.7508802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B4E-5E4D-8609-5A15D676F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868336"/>
        <c:axId val="467746800"/>
      </c:scatterChart>
      <c:valAx>
        <c:axId val="46786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467746800"/>
        <c:crosses val="autoZero"/>
        <c:crossBetween val="midCat"/>
      </c:valAx>
      <c:valAx>
        <c:axId val="46774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467868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mismatch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ideal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mismatch_ratios_ideal!$A$2:$A$12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mismatch_ratios_ideal!$D$2:$D$12</c:f>
              <c:numCache>
                <c:formatCode>General</c:formatCode>
                <c:ptCount val="11"/>
                <c:pt idx="0">
                  <c:v>0.24918241999999999</c:v>
                </c:pt>
                <c:pt idx="1">
                  <c:v>0.24997823</c:v>
                </c:pt>
                <c:pt idx="2">
                  <c:v>0.24905720000000001</c:v>
                </c:pt>
                <c:pt idx="3">
                  <c:v>0.24890509999999999</c:v>
                </c:pt>
                <c:pt idx="4">
                  <c:v>0.24790609999999999</c:v>
                </c:pt>
                <c:pt idx="5">
                  <c:v>0.24679382</c:v>
                </c:pt>
                <c:pt idx="6">
                  <c:v>0.24892573000000001</c:v>
                </c:pt>
                <c:pt idx="7">
                  <c:v>0.25123107</c:v>
                </c:pt>
                <c:pt idx="8">
                  <c:v>0.25182327999999998</c:v>
                </c:pt>
                <c:pt idx="9">
                  <c:v>0.24869494</c:v>
                </c:pt>
                <c:pt idx="10">
                  <c:v>0.25006879999999998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84-0C4F-BF3F-8AA94015AEC8}"/>
            </c:ext>
          </c:extLst>
        </c:ser>
        <c:ser>
          <c:idx val="1"/>
          <c:order val="1"/>
          <c:tx>
            <c:v>bitflip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mismatch_ratios_bitflip!$A$2:$A$12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mismatch_ratios_bitflip!$D$2:$D$12</c:f>
              <c:numCache>
                <c:formatCode>General</c:formatCode>
                <c:ptCount val="11"/>
                <c:pt idx="0">
                  <c:v>0.24988513000000001</c:v>
                </c:pt>
                <c:pt idx="1">
                  <c:v>0.24970755</c:v>
                </c:pt>
                <c:pt idx="2">
                  <c:v>0.25084865000000001</c:v>
                </c:pt>
                <c:pt idx="3">
                  <c:v>0.24826482999999999</c:v>
                </c:pt>
                <c:pt idx="4">
                  <c:v>0.24982466</c:v>
                </c:pt>
                <c:pt idx="5">
                  <c:v>0.24994205999999999</c:v>
                </c:pt>
                <c:pt idx="6">
                  <c:v>0.25158584000000001</c:v>
                </c:pt>
                <c:pt idx="7">
                  <c:v>0.25118822000000002</c:v>
                </c:pt>
                <c:pt idx="8">
                  <c:v>0.24966758</c:v>
                </c:pt>
                <c:pt idx="9">
                  <c:v>0.24989156000000001</c:v>
                </c:pt>
                <c:pt idx="10">
                  <c:v>0.25045118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84-0C4F-BF3F-8AA94015AEC8}"/>
            </c:ext>
          </c:extLst>
        </c:ser>
        <c:ser>
          <c:idx val="2"/>
          <c:order val="2"/>
          <c:tx>
            <c:v>phaseflip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mismatch_ratios_phaseflip!$A$2:$A$12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mismatch_ratios_phaseflip!$D$2:$D$12</c:f>
              <c:numCache>
                <c:formatCode>General</c:formatCode>
                <c:ptCount val="11"/>
                <c:pt idx="0">
                  <c:v>0.24912405000000001</c:v>
                </c:pt>
                <c:pt idx="1">
                  <c:v>0.29942414000000001</c:v>
                </c:pt>
                <c:pt idx="2">
                  <c:v>0.34752562999999997</c:v>
                </c:pt>
                <c:pt idx="3">
                  <c:v>0.39849309999999999</c:v>
                </c:pt>
                <c:pt idx="4">
                  <c:v>0.45107046000000001</c:v>
                </c:pt>
                <c:pt idx="5">
                  <c:v>0.50126296000000004</c:v>
                </c:pt>
                <c:pt idx="6">
                  <c:v>0.55151030000000001</c:v>
                </c:pt>
                <c:pt idx="7">
                  <c:v>0.60245420000000005</c:v>
                </c:pt>
                <c:pt idx="8">
                  <c:v>0.65024625999999996</c:v>
                </c:pt>
                <c:pt idx="9">
                  <c:v>0.70120490000000002</c:v>
                </c:pt>
                <c:pt idx="10">
                  <c:v>0.7499517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584-0C4F-BF3F-8AA94015AEC8}"/>
            </c:ext>
          </c:extLst>
        </c:ser>
        <c:ser>
          <c:idx val="3"/>
          <c:order val="3"/>
          <c:tx>
            <c:v>bitphaseflip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mismatch_ratios_bitphaseflip!$A$2:$A$12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mismatch_ratios_bitphaseflip!$D$2:$D$12</c:f>
              <c:numCache>
                <c:formatCode>General</c:formatCode>
                <c:ptCount val="11"/>
                <c:pt idx="0">
                  <c:v>0.24720317</c:v>
                </c:pt>
                <c:pt idx="1">
                  <c:v>0.29934132000000002</c:v>
                </c:pt>
                <c:pt idx="2">
                  <c:v>0.35334009999999999</c:v>
                </c:pt>
                <c:pt idx="3">
                  <c:v>0.39810943999999998</c:v>
                </c:pt>
                <c:pt idx="4">
                  <c:v>0.44861653000000001</c:v>
                </c:pt>
                <c:pt idx="5">
                  <c:v>0.50071920000000003</c:v>
                </c:pt>
                <c:pt idx="6">
                  <c:v>0.55084069999999996</c:v>
                </c:pt>
                <c:pt idx="7">
                  <c:v>0.60152039999999996</c:v>
                </c:pt>
                <c:pt idx="8">
                  <c:v>0.64958404999999997</c:v>
                </c:pt>
                <c:pt idx="9">
                  <c:v>0.69771090000000002</c:v>
                </c:pt>
                <c:pt idx="10">
                  <c:v>0.75031859999999995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584-0C4F-BF3F-8AA94015A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868336"/>
        <c:axId val="467746800"/>
      </c:scatterChart>
      <c:valAx>
        <c:axId val="46786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467746800"/>
        <c:crosses val="autoZero"/>
        <c:crossBetween val="midCat"/>
      </c:valAx>
      <c:valAx>
        <c:axId val="46774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467868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1</xdr:row>
      <xdr:rowOff>25400</xdr:rowOff>
    </xdr:from>
    <xdr:to>
      <xdr:col>14</xdr:col>
      <xdr:colOff>0</xdr:colOff>
      <xdr:row>25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B1D614-7B70-9E45-89D9-5B42A95CC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28</xdr:row>
      <xdr:rowOff>0</xdr:rowOff>
    </xdr:from>
    <xdr:to>
      <xdr:col>13</xdr:col>
      <xdr:colOff>812800</xdr:colOff>
      <xdr:row>52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ED1A2F-FB81-5C4D-9DFB-8218D936AC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54</xdr:row>
      <xdr:rowOff>0</xdr:rowOff>
    </xdr:from>
    <xdr:to>
      <xdr:col>13</xdr:col>
      <xdr:colOff>812800</xdr:colOff>
      <xdr:row>78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BDED1C-54B0-6949-A3AA-B8A511043A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0542D14-0808-DB45-9889-48374364D62D}" autoFormatId="16" applyNumberFormats="0" applyBorderFormats="0" applyFontFormats="0" applyPatternFormats="0" applyAlignmentFormats="0" applyWidthHeightFormats="0">
  <queryTableRefresh nextId="5">
    <queryTableFields count="4">
      <queryTableField id="1" name="p" tableColumnId="1"/>
      <queryTableField id="2" name="global_R_miss_mean" tableColumnId="2"/>
      <queryTableField id="3" name="Z_R_miss_mean" tableColumnId="3"/>
      <queryTableField id="4" name="X_R_miss_mean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3CA9521-F3D8-FE47-A717-DD1D7AA03C10}" autoFormatId="16" applyNumberFormats="0" applyBorderFormats="0" applyFontFormats="0" applyPatternFormats="0" applyAlignmentFormats="0" applyWidthHeightFormats="0">
  <queryTableRefresh nextId="5">
    <queryTableFields count="4">
      <queryTableField id="1" name="p" tableColumnId="1"/>
      <queryTableField id="2" name="global_R_miss_mean" tableColumnId="2"/>
      <queryTableField id="3" name="Z_R_miss_mean" tableColumnId="3"/>
      <queryTableField id="4" name="X_R_miss_mean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452D6C8A-4E7D-B949-BA26-03B0114AB0A2}" autoFormatId="16" applyNumberFormats="0" applyBorderFormats="0" applyFontFormats="0" applyPatternFormats="0" applyAlignmentFormats="0" applyWidthHeightFormats="0">
  <queryTableRefresh nextId="5">
    <queryTableFields count="4">
      <queryTableField id="1" name="p" tableColumnId="1"/>
      <queryTableField id="2" name="global_R_miss_mean" tableColumnId="2"/>
      <queryTableField id="3" name="Z_R_miss_mean" tableColumnId="3"/>
      <queryTableField id="4" name="X_R_miss_mean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401C568-9BE2-C248-8AB0-4176805B6A35}" autoFormatId="16" applyNumberFormats="0" applyBorderFormats="0" applyFontFormats="0" applyPatternFormats="0" applyAlignmentFormats="0" applyWidthHeightFormats="0">
  <queryTableRefresh nextId="5">
    <queryTableFields count="4">
      <queryTableField id="1" name="p" tableColumnId="1"/>
      <queryTableField id="2" name="global_R_miss_mean" tableColumnId="2"/>
      <queryTableField id="3" name="Z_R_miss_mean" tableColumnId="3"/>
      <queryTableField id="4" name="X_R_miss_mea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8E6E6D-40D0-CE44-A9E2-CAFB7B37D2D5}" name="mismatch_ratios_ideal" displayName="mismatch_ratios_ideal" ref="A1:D12" tableType="queryTable" totalsRowShown="0">
  <autoFilter ref="A1:D12" xr:uid="{018E6E6D-40D0-CE44-A9E2-CAFB7B37D2D5}"/>
  <tableColumns count="4">
    <tableColumn id="1" xr3:uid="{0C8CB364-0785-674D-899C-B41A9DAAAB6C}" uniqueName="1" name="p" queryTableFieldId="1"/>
    <tableColumn id="2" xr3:uid="{98C659D1-6C1A-D340-990A-DF7EEA94DE7B}" uniqueName="2" name="global_R_miss_mean" queryTableFieldId="2"/>
    <tableColumn id="3" xr3:uid="{A5178631-781C-2348-85FA-F0B749D2C0AB}" uniqueName="3" name="Z_R_miss_mean" queryTableFieldId="3"/>
    <tableColumn id="4" xr3:uid="{91218C79-CBAD-B14B-B0C9-08BB77B83B15}" uniqueName="4" name="X_R_miss_mean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5DE587-3512-2248-9D6D-64B6E21A4E24}" name="mismatch_ratios_bitflip" displayName="mismatch_ratios_bitflip" ref="A1:D12" tableType="queryTable" totalsRowShown="0">
  <autoFilter ref="A1:D12" xr:uid="{675DE587-3512-2248-9D6D-64B6E21A4E24}"/>
  <tableColumns count="4">
    <tableColumn id="1" xr3:uid="{72E0B637-178B-F641-B4B6-973A24FBEBB9}" uniqueName="1" name="p" queryTableFieldId="1"/>
    <tableColumn id="2" xr3:uid="{4CAB9799-3136-7047-A227-F3D01339F246}" uniqueName="2" name="global_R_miss_mean" queryTableFieldId="2"/>
    <tableColumn id="3" xr3:uid="{33786C1B-96B0-2140-AE81-2532C7CC72DF}" uniqueName="3" name="Z_R_miss_mean" queryTableFieldId="3"/>
    <tableColumn id="4" xr3:uid="{372B3F86-C689-004A-82D4-8833D66B953B}" uniqueName="4" name="X_R_miss_mean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030415-AB7F-7447-A5B7-7C54E7E002D2}" name="mismatch_ratios_phaseflip" displayName="mismatch_ratios_phaseflip" ref="A1:D12" tableType="queryTable" totalsRowShown="0">
  <autoFilter ref="A1:D12" xr:uid="{6C030415-AB7F-7447-A5B7-7C54E7E002D2}"/>
  <tableColumns count="4">
    <tableColumn id="1" xr3:uid="{3280E6CE-54D7-2D42-BF51-B8DEAE602A98}" uniqueName="1" name="p" queryTableFieldId="1"/>
    <tableColumn id="2" xr3:uid="{09DF94CE-F521-0149-882B-9280C313F005}" uniqueName="2" name="global_R_miss_mean" queryTableFieldId="2"/>
    <tableColumn id="3" xr3:uid="{B4217D12-0F27-0844-A850-A59E6B952BCD}" uniqueName="3" name="Z_R_miss_mean" queryTableFieldId="3"/>
    <tableColumn id="4" xr3:uid="{8686B666-5ED7-4448-9CAB-60B43C79C6D9}" uniqueName="4" name="X_R_miss_mean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5CA586-5D05-B444-85BF-0954320EA394}" name="mismatch_ratios_bitphaseflip" displayName="mismatch_ratios_bitphaseflip" ref="A1:D12" tableType="queryTable" totalsRowShown="0">
  <autoFilter ref="A1:D12" xr:uid="{805CA586-5D05-B444-85BF-0954320EA394}"/>
  <tableColumns count="4">
    <tableColumn id="1" xr3:uid="{E36D40B9-2EC9-D94E-A085-A8D411D3A57C}" uniqueName="1" name="p" queryTableFieldId="1"/>
    <tableColumn id="2" xr3:uid="{1CE36F99-07C2-C641-8A28-38C84E5A6F48}" uniqueName="2" name="global_R_miss_mean" queryTableFieldId="2"/>
    <tableColumn id="3" xr3:uid="{5072A97A-B071-6741-B9AE-4AC8F1E7DF0F}" uniqueName="3" name="Z_R_miss_mean" queryTableFieldId="3"/>
    <tableColumn id="4" xr3:uid="{F92B5DED-9A86-314C-9C97-AEC705142002}" uniqueName="4" name="X_R_miss_mean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A569A-DA47-9B45-9A6D-D3008697E332}">
  <dimension ref="A1:D12"/>
  <sheetViews>
    <sheetView workbookViewId="0">
      <selection activeCell="D15" sqref="D15"/>
    </sheetView>
  </sheetViews>
  <sheetFormatPr baseColWidth="10" defaultRowHeight="16" x14ac:dyDescent="0.2"/>
  <cols>
    <col min="1" max="1" width="4.6640625" bestFit="1" customWidth="1"/>
    <col min="2" max="2" width="21.33203125" bestFit="1" customWidth="1"/>
    <col min="3" max="4" width="17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0.24941663</v>
      </c>
      <c r="C2">
        <v>0.24961179999999999</v>
      </c>
      <c r="D2">
        <v>0.24918241999999999</v>
      </c>
    </row>
    <row r="3" spans="1:4" x14ac:dyDescent="0.2">
      <c r="A3">
        <v>0.1</v>
      </c>
      <c r="B3">
        <v>0.25000349999999999</v>
      </c>
      <c r="C3">
        <v>0.25000234999999998</v>
      </c>
      <c r="D3">
        <v>0.24997823</v>
      </c>
    </row>
    <row r="4" spans="1:4" x14ac:dyDescent="0.2">
      <c r="A4">
        <v>0.2</v>
      </c>
      <c r="B4">
        <v>0.24960992000000001</v>
      </c>
      <c r="C4">
        <v>0.25011715000000001</v>
      </c>
      <c r="D4">
        <v>0.24905720000000001</v>
      </c>
    </row>
    <row r="5" spans="1:4" x14ac:dyDescent="0.2">
      <c r="A5">
        <v>0.3</v>
      </c>
      <c r="B5">
        <v>0.25000655999999999</v>
      </c>
      <c r="C5">
        <v>0.25102940000000001</v>
      </c>
      <c r="D5">
        <v>0.24890509999999999</v>
      </c>
    </row>
    <row r="6" spans="1:4" x14ac:dyDescent="0.2">
      <c r="A6">
        <v>0.4</v>
      </c>
      <c r="B6">
        <v>0.24915983</v>
      </c>
      <c r="C6">
        <v>0.2505617</v>
      </c>
      <c r="D6">
        <v>0.24790609999999999</v>
      </c>
    </row>
    <row r="7" spans="1:4" x14ac:dyDescent="0.2">
      <c r="A7">
        <v>0.5</v>
      </c>
      <c r="B7">
        <v>0.24823002999999999</v>
      </c>
      <c r="C7">
        <v>0.2495724</v>
      </c>
      <c r="D7">
        <v>0.24679382</v>
      </c>
    </row>
    <row r="8" spans="1:4" x14ac:dyDescent="0.2">
      <c r="A8">
        <v>0.6</v>
      </c>
      <c r="B8">
        <v>0.24933675999999999</v>
      </c>
      <c r="C8">
        <v>0.24976528000000001</v>
      </c>
      <c r="D8">
        <v>0.24892573000000001</v>
      </c>
    </row>
    <row r="9" spans="1:4" x14ac:dyDescent="0.2">
      <c r="A9">
        <v>0.7</v>
      </c>
      <c r="B9">
        <v>0.25079662000000003</v>
      </c>
      <c r="C9">
        <v>0.25038110000000002</v>
      </c>
      <c r="D9">
        <v>0.25123107</v>
      </c>
    </row>
    <row r="10" spans="1:4" x14ac:dyDescent="0.2">
      <c r="A10">
        <v>0.8</v>
      </c>
      <c r="B10">
        <v>0.25107689999999999</v>
      </c>
      <c r="C10">
        <v>0.25028220000000001</v>
      </c>
      <c r="D10">
        <v>0.25182327999999998</v>
      </c>
    </row>
    <row r="11" spans="1:4" x14ac:dyDescent="0.2">
      <c r="A11">
        <v>0.9</v>
      </c>
      <c r="B11">
        <v>0.24943989999999999</v>
      </c>
      <c r="C11">
        <v>0.25003648000000001</v>
      </c>
      <c r="D11">
        <v>0.24869494</v>
      </c>
    </row>
    <row r="12" spans="1:4" x14ac:dyDescent="0.2">
      <c r="A12">
        <v>1</v>
      </c>
      <c r="B12">
        <v>0.25024350000000001</v>
      </c>
      <c r="C12">
        <v>0.25029653000000002</v>
      </c>
      <c r="D12">
        <v>0.25006879999999998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5435E-AD0F-AB41-8E53-43A3122AAE5D}">
  <dimension ref="A1:D12"/>
  <sheetViews>
    <sheetView workbookViewId="0"/>
  </sheetViews>
  <sheetFormatPr baseColWidth="10" defaultRowHeight="16" x14ac:dyDescent="0.2"/>
  <cols>
    <col min="1" max="1" width="4.6640625" bestFit="1" customWidth="1"/>
    <col min="2" max="2" width="21.33203125" bestFit="1" customWidth="1"/>
    <col min="3" max="4" width="17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0.24949001000000001</v>
      </c>
      <c r="C2">
        <v>0.24903831000000001</v>
      </c>
      <c r="D2">
        <v>0.24988513000000001</v>
      </c>
    </row>
    <row r="3" spans="1:4" x14ac:dyDescent="0.2">
      <c r="A3">
        <v>0.1</v>
      </c>
      <c r="B3">
        <v>0.27475349999999998</v>
      </c>
      <c r="C3">
        <v>0.29965492999999999</v>
      </c>
      <c r="D3">
        <v>0.24970755</v>
      </c>
    </row>
    <row r="4" spans="1:4" x14ac:dyDescent="0.2">
      <c r="A4">
        <v>0.2</v>
      </c>
      <c r="B4">
        <v>0.30019699999999999</v>
      </c>
      <c r="C4">
        <v>0.34965489999999999</v>
      </c>
      <c r="D4">
        <v>0.25084865000000001</v>
      </c>
    </row>
    <row r="5" spans="1:4" x14ac:dyDescent="0.2">
      <c r="A5">
        <v>0.3</v>
      </c>
      <c r="B5">
        <v>0.32510339999999999</v>
      </c>
      <c r="C5">
        <v>0.40215962999999999</v>
      </c>
      <c r="D5">
        <v>0.24826482999999999</v>
      </c>
    </row>
    <row r="6" spans="1:4" x14ac:dyDescent="0.2">
      <c r="A6">
        <v>0.4</v>
      </c>
      <c r="B6">
        <v>0.35042676</v>
      </c>
      <c r="C6">
        <v>0.45094835999999999</v>
      </c>
      <c r="D6">
        <v>0.24982466</v>
      </c>
    </row>
    <row r="7" spans="1:4" x14ac:dyDescent="0.2">
      <c r="A7">
        <v>0.5</v>
      </c>
      <c r="B7">
        <v>0.37506687999999999</v>
      </c>
      <c r="C7">
        <v>0.49981274999999997</v>
      </c>
      <c r="D7">
        <v>0.24994205999999999</v>
      </c>
    </row>
    <row r="8" spans="1:4" x14ac:dyDescent="0.2">
      <c r="A8">
        <v>0.6</v>
      </c>
      <c r="B8">
        <v>0.40127993000000001</v>
      </c>
      <c r="C8">
        <v>0.55000143999999995</v>
      </c>
      <c r="D8">
        <v>0.25158584000000001</v>
      </c>
    </row>
    <row r="9" spans="1:4" x14ac:dyDescent="0.2">
      <c r="A9">
        <v>0.7</v>
      </c>
      <c r="B9">
        <v>0.42589660000000001</v>
      </c>
      <c r="C9">
        <v>0.60060360000000002</v>
      </c>
      <c r="D9">
        <v>0.25118822000000002</v>
      </c>
    </row>
    <row r="10" spans="1:4" x14ac:dyDescent="0.2">
      <c r="A10">
        <v>0.8</v>
      </c>
      <c r="B10">
        <v>0.44993988000000001</v>
      </c>
      <c r="C10">
        <v>0.65080039999999995</v>
      </c>
      <c r="D10">
        <v>0.24966758</v>
      </c>
    </row>
    <row r="11" spans="1:4" x14ac:dyDescent="0.2">
      <c r="A11">
        <v>0.9</v>
      </c>
      <c r="B11">
        <v>0.47563699999999998</v>
      </c>
      <c r="C11">
        <v>0.70225274999999998</v>
      </c>
      <c r="D11">
        <v>0.24989156000000001</v>
      </c>
    </row>
    <row r="12" spans="1:4" x14ac:dyDescent="0.2">
      <c r="A12">
        <v>1</v>
      </c>
      <c r="B12">
        <v>0.49995336000000001</v>
      </c>
      <c r="C12">
        <v>0.74958323999999998</v>
      </c>
      <c r="D12">
        <v>0.25045118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79475-8AAE-1D4C-A963-543215CC2376}">
  <dimension ref="A1:D12"/>
  <sheetViews>
    <sheetView workbookViewId="0"/>
  </sheetViews>
  <sheetFormatPr baseColWidth="10" defaultRowHeight="16" x14ac:dyDescent="0.2"/>
  <cols>
    <col min="1" max="1" width="4.6640625" bestFit="1" customWidth="1"/>
    <col min="2" max="2" width="21.33203125" bestFit="1" customWidth="1"/>
    <col min="3" max="4" width="17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0.24950673000000001</v>
      </c>
      <c r="C2">
        <v>0.24985080000000001</v>
      </c>
      <c r="D2">
        <v>0.24912405000000001</v>
      </c>
    </row>
    <row r="3" spans="1:4" x14ac:dyDescent="0.2">
      <c r="A3">
        <v>0.1</v>
      </c>
      <c r="B3">
        <v>0.27522665000000002</v>
      </c>
      <c r="C3">
        <v>0.25103015000000001</v>
      </c>
      <c r="D3">
        <v>0.29942414000000001</v>
      </c>
    </row>
    <row r="4" spans="1:4" x14ac:dyDescent="0.2">
      <c r="A4">
        <v>0.2</v>
      </c>
      <c r="B4">
        <v>0.29773351999999997</v>
      </c>
      <c r="C4">
        <v>0.24796346999999999</v>
      </c>
      <c r="D4">
        <v>0.34752562999999997</v>
      </c>
    </row>
    <row r="5" spans="1:4" x14ac:dyDescent="0.2">
      <c r="A5">
        <v>0.3</v>
      </c>
      <c r="B5">
        <v>0.32445010000000002</v>
      </c>
      <c r="C5">
        <v>0.24997345000000001</v>
      </c>
      <c r="D5">
        <v>0.39849309999999999</v>
      </c>
    </row>
    <row r="6" spans="1:4" x14ac:dyDescent="0.2">
      <c r="A6">
        <v>0.4</v>
      </c>
      <c r="B6">
        <v>0.35152006000000002</v>
      </c>
      <c r="C6">
        <v>0.25156528</v>
      </c>
      <c r="D6">
        <v>0.45107046000000001</v>
      </c>
    </row>
    <row r="7" spans="1:4" x14ac:dyDescent="0.2">
      <c r="A7">
        <v>0.5</v>
      </c>
      <c r="B7">
        <v>0.37541667000000001</v>
      </c>
      <c r="C7">
        <v>0.24974284999999999</v>
      </c>
      <c r="D7">
        <v>0.50126296000000004</v>
      </c>
    </row>
    <row r="8" spans="1:4" x14ac:dyDescent="0.2">
      <c r="A8">
        <v>0.6</v>
      </c>
      <c r="B8">
        <v>0.40148645999999999</v>
      </c>
      <c r="C8">
        <v>0.25115746</v>
      </c>
      <c r="D8">
        <v>0.55151030000000001</v>
      </c>
    </row>
    <row r="9" spans="1:4" x14ac:dyDescent="0.2">
      <c r="A9">
        <v>0.7</v>
      </c>
      <c r="B9">
        <v>0.42731646000000001</v>
      </c>
      <c r="C9">
        <v>0.25166050000000001</v>
      </c>
      <c r="D9">
        <v>0.60245420000000005</v>
      </c>
    </row>
    <row r="10" spans="1:4" x14ac:dyDescent="0.2">
      <c r="A10">
        <v>0.8</v>
      </c>
      <c r="B10">
        <v>0.45025673999999999</v>
      </c>
      <c r="C10">
        <v>0.24991380999999999</v>
      </c>
      <c r="D10">
        <v>0.65024625999999996</v>
      </c>
    </row>
    <row r="11" spans="1:4" x14ac:dyDescent="0.2">
      <c r="A11">
        <v>0.9</v>
      </c>
      <c r="B11">
        <v>0.47581309999999999</v>
      </c>
      <c r="C11">
        <v>0.25084190000000001</v>
      </c>
      <c r="D11">
        <v>0.70120490000000002</v>
      </c>
    </row>
    <row r="12" spans="1:4" x14ac:dyDescent="0.2">
      <c r="A12">
        <v>1</v>
      </c>
      <c r="B12">
        <v>0.50091339999999995</v>
      </c>
      <c r="C12">
        <v>0.25073596999999997</v>
      </c>
      <c r="D12">
        <v>0.7499517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B421F-69C0-074F-BA77-065F4279BBA4}">
  <dimension ref="A1:D12"/>
  <sheetViews>
    <sheetView workbookViewId="0"/>
  </sheetViews>
  <sheetFormatPr baseColWidth="10" defaultRowHeight="16" x14ac:dyDescent="0.2"/>
  <cols>
    <col min="1" max="1" width="4.6640625" bestFit="1" customWidth="1"/>
    <col min="2" max="2" width="21.33203125" bestFit="1" customWidth="1"/>
    <col min="3" max="4" width="17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0.24791326</v>
      </c>
      <c r="C2">
        <v>0.24869401999999999</v>
      </c>
      <c r="D2">
        <v>0.24720317</v>
      </c>
    </row>
    <row r="3" spans="1:4" x14ac:dyDescent="0.2">
      <c r="A3">
        <v>0.1</v>
      </c>
      <c r="B3">
        <v>0.30017660000000002</v>
      </c>
      <c r="C3">
        <v>0.30087986999999999</v>
      </c>
      <c r="D3">
        <v>0.29934132000000002</v>
      </c>
    </row>
    <row r="4" spans="1:4" x14ac:dyDescent="0.2">
      <c r="A4">
        <v>0.2</v>
      </c>
      <c r="B4">
        <v>0.35213348</v>
      </c>
      <c r="C4">
        <v>0.35087787999999998</v>
      </c>
      <c r="D4">
        <v>0.35334009999999999</v>
      </c>
    </row>
    <row r="5" spans="1:4" x14ac:dyDescent="0.2">
      <c r="A5">
        <v>0.3</v>
      </c>
      <c r="B5">
        <v>0.39801994000000002</v>
      </c>
      <c r="C5">
        <v>0.39787790000000001</v>
      </c>
      <c r="D5">
        <v>0.39810943999999998</v>
      </c>
    </row>
    <row r="6" spans="1:4" x14ac:dyDescent="0.2">
      <c r="A6">
        <v>0.4</v>
      </c>
      <c r="B6">
        <v>0.44839686000000001</v>
      </c>
      <c r="C6">
        <v>0.44816420000000001</v>
      </c>
      <c r="D6">
        <v>0.44861653000000001</v>
      </c>
    </row>
    <row r="7" spans="1:4" x14ac:dyDescent="0.2">
      <c r="A7">
        <v>0.5</v>
      </c>
      <c r="B7">
        <v>0.49988356</v>
      </c>
      <c r="C7">
        <v>0.49937680000000001</v>
      </c>
      <c r="D7">
        <v>0.50071920000000003</v>
      </c>
    </row>
    <row r="8" spans="1:4" x14ac:dyDescent="0.2">
      <c r="A8">
        <v>0.6</v>
      </c>
      <c r="B8">
        <v>0.5502399</v>
      </c>
      <c r="C8">
        <v>0.54979409999999995</v>
      </c>
      <c r="D8">
        <v>0.55084069999999996</v>
      </c>
    </row>
    <row r="9" spans="1:4" x14ac:dyDescent="0.2">
      <c r="A9">
        <v>0.7</v>
      </c>
      <c r="B9">
        <v>0.60168034000000004</v>
      </c>
      <c r="C9">
        <v>0.60190909999999997</v>
      </c>
      <c r="D9">
        <v>0.60152039999999996</v>
      </c>
    </row>
    <row r="10" spans="1:4" x14ac:dyDescent="0.2">
      <c r="A10">
        <v>0.8</v>
      </c>
      <c r="B10">
        <v>0.65057695000000004</v>
      </c>
      <c r="C10">
        <v>0.65156740000000002</v>
      </c>
      <c r="D10">
        <v>0.64958404999999997</v>
      </c>
    </row>
    <row r="11" spans="1:4" x14ac:dyDescent="0.2">
      <c r="A11">
        <v>0.9</v>
      </c>
      <c r="B11">
        <v>0.69885324999999998</v>
      </c>
      <c r="C11">
        <v>0.70015669999999997</v>
      </c>
      <c r="D11">
        <v>0.69771090000000002</v>
      </c>
    </row>
    <row r="12" spans="1:4" x14ac:dyDescent="0.2">
      <c r="A12">
        <v>1</v>
      </c>
      <c r="B12">
        <v>0.75057019999999997</v>
      </c>
      <c r="C12">
        <v>0.7508802</v>
      </c>
      <c r="D12">
        <v>0.75031859999999995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F3CAC-AE3C-9E41-8542-C6120335EC6E}">
  <dimension ref="A1"/>
  <sheetViews>
    <sheetView tabSelected="1" zoomScaleNormal="100" workbookViewId="0">
      <selection activeCell="Q16" sqref="Q16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4D7F03-8F14-8D40-9F97-874F8F8913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mismatch_ratios_ideal</vt:lpstr>
      <vt:lpstr>mismatch_ratios_bitflip</vt:lpstr>
      <vt:lpstr>mismatch_ratios_phaseflip</vt:lpstr>
      <vt:lpstr>mismatch_ratios_bitphaseflip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Mazzanti</dc:creator>
  <cp:lastModifiedBy>Carlo Mazzanti</cp:lastModifiedBy>
  <dcterms:created xsi:type="dcterms:W3CDTF">2025-12-17T13:56:45Z</dcterms:created>
  <dcterms:modified xsi:type="dcterms:W3CDTF">2025-12-18T09:22:47Z</dcterms:modified>
</cp:coreProperties>
</file>