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lomazzanti/progetti/JuliaProjects/BB84_Protocol/results/mismatch_ratio_experiments/"/>
    </mc:Choice>
  </mc:AlternateContent>
  <xr:revisionPtr revIDLastSave="0" documentId="8_{B9EBA05A-70B1-A248-BE69-4BF4A7512283}" xr6:coauthVersionLast="47" xr6:coauthVersionMax="47" xr10:uidLastSave="{00000000-0000-0000-0000-000000000000}"/>
  <bookViews>
    <workbookView xWindow="220" yWindow="800" windowWidth="29920" windowHeight="16900" activeTab="4" xr2:uid="{9A08787D-F864-6041-800F-A5D164DD91D4}"/>
  </bookViews>
  <sheets>
    <sheet name="mismatch_ratios_eavesdropping" sheetId="2" r:id="rId1"/>
    <sheet name="mismatch_ratios_eavesdropping_b" sheetId="3" r:id="rId2"/>
    <sheet name="mismatch_ratios_eavesdropping_p" sheetId="4" r:id="rId3"/>
    <sheet name="mismatch_ratios_eavesdroppi (2)" sheetId="5" r:id="rId4"/>
    <sheet name="Sheet1" sheetId="1" r:id="rId5"/>
  </sheets>
  <definedNames>
    <definedName name="ExternalData_1" localSheetId="3" hidden="1">'mismatch_ratios_eavesdroppi (2)'!$A$1:$D$12</definedName>
    <definedName name="ExternalData_1" localSheetId="0" hidden="1">mismatch_ratios_eavesdropping!$A$1:$D$12</definedName>
    <definedName name="ExternalData_1" localSheetId="1" hidden="1">mismatch_ratios_eavesdropping_b!$A$1:$D$12</definedName>
    <definedName name="ExternalData_1" localSheetId="2" hidden="1">mismatch_ratios_eavesdropping_p!$A$1:$D$12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9BF5DE-3389-4149-BEA0-F9DA3ED3E160}" keepAlive="1" name="Query - mismatch_ratios_eavesdropping" description="Connection to the 'mismatch_ratios_eavesdropping' query in the workbook." type="5" refreshedVersion="8" background="1" saveData="1">
    <dbPr connection="Provider=Microsoft.Mashup.OleDb.1;Data Source=$Workbook$;Location=mismatch_ratios_eavesdropping;Extended Properties=&quot;&quot;" command="SELECT * FROM [mismatch_ratios_eavesdropping]"/>
  </connection>
  <connection id="2" xr16:uid="{2A769331-5E7A-A04D-BCE6-2FBEF95D4ED1}" keepAlive="1" name="Query - mismatch_ratios_eavesdropping_bitflip" description="Connection to the 'mismatch_ratios_eavesdropping_bitflip' query in the workbook." type="5" refreshedVersion="8" background="1" saveData="1">
    <dbPr connection="Provider=Microsoft.Mashup.OleDb.1;Data Source=$Workbook$;Location=mismatch_ratios_eavesdropping_bitflip;Extended Properties=&quot;&quot;" command="SELECT * FROM [mismatch_ratios_eavesdropping_bitflip]"/>
  </connection>
  <connection id="3" xr16:uid="{BA8B01AD-1A96-E74E-9619-3BC5A64A6C02}" keepAlive="1" name="Query - mismatch_ratios_eavesdropping_bitphaseflip" description="Connection to the 'mismatch_ratios_eavesdropping_bitphaseflip' query in the workbook." type="5" refreshedVersion="8" background="1" saveData="1">
    <dbPr connection="Provider=Microsoft.Mashup.OleDb.1;Data Source=$Workbook$;Location=mismatch_ratios_eavesdropping_bitphaseflip;Extended Properties=&quot;&quot;" command="SELECT * FROM [mismatch_ratios_eavesdropping_bitphaseflip]"/>
  </connection>
  <connection id="4" xr16:uid="{CA5DBDFB-44C0-7342-9D5C-6C7775710E8E}" keepAlive="1" name="Query - mismatch_ratios_eavesdropping_phaseflip" description="Connection to the 'mismatch_ratios_eavesdropping_phaseflip' query in the workbook." type="5" refreshedVersion="8" background="1" saveData="1">
    <dbPr connection="Provider=Microsoft.Mashup.OleDb.1;Data Source=$Workbook$;Location=mismatch_ratios_eavesdropping_phaseflip;Extended Properties=&quot;&quot;" command="SELECT * FROM [mismatch_ratios_eavesdropping_phaseflip]"/>
  </connection>
  <connection id="5" xr16:uid="{0337FE4E-AE9F-2D41-9C4E-E04A61E17F8D}" keepAlive="1" name="Query - mismatch_ratios_eavesdropping_phaseflip (2)" description="Connection to the 'mismatch_ratios_eavesdropping_phaseflip (2)' query in the workbook." type="5" refreshedVersion="8" background="1" saveData="1">
    <dbPr connection="Provider=Microsoft.Mashup.OleDb.1;Data Source=$Workbook$;Location=&quot;mismatch_ratios_eavesdropping_phaseflip (2)&quot;;Extended Properties=&quot;&quot;" command="SELECT * FROM [mismatch_ratios_eavesdropping_phaseflip (2)]"/>
  </connection>
</connections>
</file>

<file path=xl/sharedStrings.xml><?xml version="1.0" encoding="utf-8"?>
<sst xmlns="http://schemas.openxmlformats.org/spreadsheetml/2006/main" count="16" uniqueCount="4">
  <si>
    <t>p</t>
  </si>
  <si>
    <t>global_R_miss_mean</t>
  </si>
  <si>
    <t>Z_R_miss_mean</t>
  </si>
  <si>
    <t>X_R_miss_mean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</si>
</sst>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global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mismatch_ratios_eavesdropping!$B$2:$B$12</c:f>
              <c:numCache>
                <c:formatCode>General</c:formatCode>
                <c:ptCount val="11"/>
                <c:pt idx="0">
                  <c:v>0.37385020000000002</c:v>
                </c:pt>
                <c:pt idx="1">
                  <c:v>0.37404662</c:v>
                </c:pt>
                <c:pt idx="2">
                  <c:v>0.37515670000000001</c:v>
                </c:pt>
                <c:pt idx="3">
                  <c:v>0.37565022999999997</c:v>
                </c:pt>
                <c:pt idx="4">
                  <c:v>0.37386975</c:v>
                </c:pt>
                <c:pt idx="5">
                  <c:v>0.37410315999999999</c:v>
                </c:pt>
                <c:pt idx="6">
                  <c:v>0.37370682</c:v>
                </c:pt>
                <c:pt idx="7">
                  <c:v>0.37645023999999999</c:v>
                </c:pt>
                <c:pt idx="8">
                  <c:v>0.37641313999999998</c:v>
                </c:pt>
                <c:pt idx="9">
                  <c:v>0.37521660000000001</c:v>
                </c:pt>
                <c:pt idx="10">
                  <c:v>0.37609981999999997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38-4D40-8A27-B2A72BEBF13B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mismatch_ratios_eavesdropping_b!$B$2:$B$12</c:f>
              <c:numCache>
                <c:formatCode>General</c:formatCode>
                <c:ptCount val="11"/>
                <c:pt idx="0">
                  <c:v>0.37766346000000001</c:v>
                </c:pt>
                <c:pt idx="1">
                  <c:v>0.38714007</c:v>
                </c:pt>
                <c:pt idx="2">
                  <c:v>0.40151693999999999</c:v>
                </c:pt>
                <c:pt idx="3">
                  <c:v>0.41242337000000001</c:v>
                </c:pt>
                <c:pt idx="4">
                  <c:v>0.42541325000000002</c:v>
                </c:pt>
                <c:pt idx="5">
                  <c:v>0.43536994000000001</c:v>
                </c:pt>
                <c:pt idx="6">
                  <c:v>0.44979984000000001</c:v>
                </c:pt>
                <c:pt idx="7">
                  <c:v>0.46240989999999998</c:v>
                </c:pt>
                <c:pt idx="8">
                  <c:v>0.47388348000000002</c:v>
                </c:pt>
                <c:pt idx="9">
                  <c:v>0.48657006000000003</c:v>
                </c:pt>
                <c:pt idx="10">
                  <c:v>0.50075000000000003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38-4D40-8A27-B2A72BEBF13B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mismatch_ratios_eavesdropping_p!$B$2:$B$12</c:f>
              <c:numCache>
                <c:formatCode>General</c:formatCode>
                <c:ptCount val="11"/>
                <c:pt idx="0">
                  <c:v>0.37537688000000002</c:v>
                </c:pt>
                <c:pt idx="1">
                  <c:v>0.38728679999999999</c:v>
                </c:pt>
                <c:pt idx="2">
                  <c:v>0.40001655000000003</c:v>
                </c:pt>
                <c:pt idx="3">
                  <c:v>0.41227330000000001</c:v>
                </c:pt>
                <c:pt idx="4">
                  <c:v>0.42565003000000001</c:v>
                </c:pt>
                <c:pt idx="5">
                  <c:v>0.43757017999999998</c:v>
                </c:pt>
                <c:pt idx="6">
                  <c:v>0.45079364999999999</c:v>
                </c:pt>
                <c:pt idx="7">
                  <c:v>0.46296011999999997</c:v>
                </c:pt>
                <c:pt idx="8">
                  <c:v>0.47588320000000001</c:v>
                </c:pt>
                <c:pt idx="9">
                  <c:v>0.48795366000000001</c:v>
                </c:pt>
                <c:pt idx="10">
                  <c:v>0.50061655000000005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538-4D40-8A27-B2A72BEBF13B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(2)'!$B$2:$B$12</c:f>
              <c:numCache>
                <c:formatCode>General</c:formatCode>
                <c:ptCount val="11"/>
                <c:pt idx="0">
                  <c:v>0.37492989999999998</c:v>
                </c:pt>
                <c:pt idx="1">
                  <c:v>0.39950970000000002</c:v>
                </c:pt>
                <c:pt idx="2">
                  <c:v>0.42418</c:v>
                </c:pt>
                <c:pt idx="3">
                  <c:v>0.44961000000000001</c:v>
                </c:pt>
                <c:pt idx="4">
                  <c:v>0.47657716</c:v>
                </c:pt>
                <c:pt idx="5">
                  <c:v>0.49843657000000002</c:v>
                </c:pt>
                <c:pt idx="6">
                  <c:v>0.52581299999999997</c:v>
                </c:pt>
                <c:pt idx="7">
                  <c:v>0.55015009999999998</c:v>
                </c:pt>
                <c:pt idx="8">
                  <c:v>0.57613957000000005</c:v>
                </c:pt>
                <c:pt idx="9">
                  <c:v>0.59931000000000001</c:v>
                </c:pt>
                <c:pt idx="10">
                  <c:v>0.62451020000000002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538-4D40-8A27-B2A72BEBF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mismatch_ratios_eavesdropping!$C$2:$C$12</c:f>
              <c:numCache>
                <c:formatCode>General</c:formatCode>
                <c:ptCount val="11"/>
                <c:pt idx="0">
                  <c:v>0.37377055999999997</c:v>
                </c:pt>
                <c:pt idx="1">
                  <c:v>0.37293340000000003</c:v>
                </c:pt>
                <c:pt idx="2">
                  <c:v>0.37472572999999998</c:v>
                </c:pt>
                <c:pt idx="3">
                  <c:v>0.37595729999999999</c:v>
                </c:pt>
                <c:pt idx="4">
                  <c:v>0.37378135000000001</c:v>
                </c:pt>
                <c:pt idx="5">
                  <c:v>0.37429499999999999</c:v>
                </c:pt>
                <c:pt idx="6">
                  <c:v>0.37485829999999998</c:v>
                </c:pt>
                <c:pt idx="7">
                  <c:v>0.3766198</c:v>
                </c:pt>
                <c:pt idx="8">
                  <c:v>0.37653318000000002</c:v>
                </c:pt>
                <c:pt idx="9">
                  <c:v>0.37495118</c:v>
                </c:pt>
                <c:pt idx="10">
                  <c:v>0.37755933000000003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FD-EA49-B7C9-216D7F51AFED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mismatch_ratios_eavesdropping_b!$C$2:$C$12</c:f>
              <c:numCache>
                <c:formatCode>General</c:formatCode>
                <c:ptCount val="11"/>
                <c:pt idx="0">
                  <c:v>0.37689233</c:v>
                </c:pt>
                <c:pt idx="1">
                  <c:v>0.40015995999999998</c:v>
                </c:pt>
                <c:pt idx="2">
                  <c:v>0.42676243000000003</c:v>
                </c:pt>
                <c:pt idx="3">
                  <c:v>0.45064347999999999</c:v>
                </c:pt>
                <c:pt idx="4">
                  <c:v>0.47668486999999998</c:v>
                </c:pt>
                <c:pt idx="5">
                  <c:v>0.49660113</c:v>
                </c:pt>
                <c:pt idx="6">
                  <c:v>0.52374069999999995</c:v>
                </c:pt>
                <c:pt idx="7">
                  <c:v>0.54866970000000004</c:v>
                </c:pt>
                <c:pt idx="8">
                  <c:v>0.57181709999999997</c:v>
                </c:pt>
                <c:pt idx="9">
                  <c:v>0.59860234999999995</c:v>
                </c:pt>
                <c:pt idx="10">
                  <c:v>0.62699353999999996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3FD-EA49-B7C9-216D7F51AFED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mismatch_ratios_eavesdropping_p!$C$2:$C$12</c:f>
              <c:numCache>
                <c:formatCode>General</c:formatCode>
                <c:ptCount val="11"/>
                <c:pt idx="0">
                  <c:v>0.37638050000000001</c:v>
                </c:pt>
                <c:pt idx="1">
                  <c:v>0.37369936999999998</c:v>
                </c:pt>
                <c:pt idx="2">
                  <c:v>0.37607523999999998</c:v>
                </c:pt>
                <c:pt idx="3">
                  <c:v>0.37527781999999998</c:v>
                </c:pt>
                <c:pt idx="4">
                  <c:v>0.37687140000000002</c:v>
                </c:pt>
                <c:pt idx="5">
                  <c:v>0.37429430000000002</c:v>
                </c:pt>
                <c:pt idx="6">
                  <c:v>0.37657762</c:v>
                </c:pt>
                <c:pt idx="7">
                  <c:v>0.37553294999999998</c:v>
                </c:pt>
                <c:pt idx="8">
                  <c:v>0.37490733999999998</c:v>
                </c:pt>
                <c:pt idx="9">
                  <c:v>0.37542449999999999</c:v>
                </c:pt>
                <c:pt idx="10">
                  <c:v>0.37608965999999999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3FD-EA49-B7C9-216D7F51AFED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(2)'!$C$2:$C$12</c:f>
              <c:numCache>
                <c:formatCode>General</c:formatCode>
                <c:ptCount val="11"/>
                <c:pt idx="0">
                  <c:v>0.37455189999999999</c:v>
                </c:pt>
                <c:pt idx="1">
                  <c:v>0.39938873000000003</c:v>
                </c:pt>
                <c:pt idx="2">
                  <c:v>0.42361847000000002</c:v>
                </c:pt>
                <c:pt idx="3">
                  <c:v>0.45057142</c:v>
                </c:pt>
                <c:pt idx="4">
                  <c:v>0.47570040000000002</c:v>
                </c:pt>
                <c:pt idx="5">
                  <c:v>0.49938726</c:v>
                </c:pt>
                <c:pt idx="6">
                  <c:v>0.52503675000000005</c:v>
                </c:pt>
                <c:pt idx="7">
                  <c:v>0.54906960000000005</c:v>
                </c:pt>
                <c:pt idx="8">
                  <c:v>0.57680469999999995</c:v>
                </c:pt>
                <c:pt idx="9">
                  <c:v>0.5991744</c:v>
                </c:pt>
                <c:pt idx="10">
                  <c:v>0.62381333000000005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3FD-EA49-B7C9-216D7F51A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 mismatch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eavesdropping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mismatch_ratios_eavesdropping!$A$2:$A$12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mismatch_ratios_eavesdropping!$D$2:$D$12</c:f>
              <c:numCache>
                <c:formatCode>General</c:formatCode>
                <c:ptCount val="11"/>
                <c:pt idx="0">
                  <c:v>0.3739555</c:v>
                </c:pt>
                <c:pt idx="1">
                  <c:v>0.37535499999999999</c:v>
                </c:pt>
                <c:pt idx="2">
                  <c:v>0.37542394000000001</c:v>
                </c:pt>
                <c:pt idx="3">
                  <c:v>0.37540188000000002</c:v>
                </c:pt>
                <c:pt idx="4">
                  <c:v>0.37388127999999998</c:v>
                </c:pt>
                <c:pt idx="5">
                  <c:v>0.37401574999999998</c:v>
                </c:pt>
                <c:pt idx="6">
                  <c:v>0.3723957</c:v>
                </c:pt>
                <c:pt idx="7">
                  <c:v>0.37623844000000001</c:v>
                </c:pt>
                <c:pt idx="8">
                  <c:v>0.37633112000000002</c:v>
                </c:pt>
                <c:pt idx="9">
                  <c:v>0.37548229999999999</c:v>
                </c:pt>
                <c:pt idx="10">
                  <c:v>0.37473564999999998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50-9544-BA59-AAEE18ACBD46}"/>
            </c:ext>
          </c:extLst>
        </c:ser>
        <c:ser>
          <c:idx val="1"/>
          <c:order val="1"/>
          <c:tx>
            <c:v>eavesdropping bitflip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mismatch_ratios_eavesdropping_b!$A$2:$A$12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mismatch_ratios_eavesdropping_b!$D$2:$D$12</c:f>
              <c:numCache>
                <c:formatCode>General</c:formatCode>
                <c:ptCount val="11"/>
                <c:pt idx="0">
                  <c:v>0.37850257999999998</c:v>
                </c:pt>
                <c:pt idx="1">
                  <c:v>0.37426922000000001</c:v>
                </c:pt>
                <c:pt idx="2">
                  <c:v>0.37622317999999999</c:v>
                </c:pt>
                <c:pt idx="3">
                  <c:v>0.37410018</c:v>
                </c:pt>
                <c:pt idx="4">
                  <c:v>0.37432634999999997</c:v>
                </c:pt>
                <c:pt idx="5">
                  <c:v>0.37401336000000002</c:v>
                </c:pt>
                <c:pt idx="6">
                  <c:v>0.37527474999999999</c:v>
                </c:pt>
                <c:pt idx="7">
                  <c:v>0.37652677000000001</c:v>
                </c:pt>
                <c:pt idx="8">
                  <c:v>0.37603229999999999</c:v>
                </c:pt>
                <c:pt idx="9">
                  <c:v>0.37506703000000002</c:v>
                </c:pt>
                <c:pt idx="10">
                  <c:v>0.37526247000000001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50-9544-BA59-AAEE18ACBD46}"/>
            </c:ext>
          </c:extLst>
        </c:ser>
        <c:ser>
          <c:idx val="2"/>
          <c:order val="2"/>
          <c:tx>
            <c:v>eavesdropping phaseflip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mismatch_ratios_eavesdropping_p!$A$2:$A$12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mismatch_ratios_eavesdropping_p!$D$2:$D$12</c:f>
              <c:numCache>
                <c:formatCode>General</c:formatCode>
                <c:ptCount val="11"/>
                <c:pt idx="0">
                  <c:v>0.37437034000000002</c:v>
                </c:pt>
                <c:pt idx="1">
                  <c:v>0.40097182999999997</c:v>
                </c:pt>
                <c:pt idx="2">
                  <c:v>0.42406768</c:v>
                </c:pt>
                <c:pt idx="3">
                  <c:v>0.44943126999999999</c:v>
                </c:pt>
                <c:pt idx="4">
                  <c:v>0.47461903</c:v>
                </c:pt>
                <c:pt idx="5">
                  <c:v>0.50107913999999998</c:v>
                </c:pt>
                <c:pt idx="6">
                  <c:v>0.52504843000000001</c:v>
                </c:pt>
                <c:pt idx="7">
                  <c:v>0.55103725000000003</c:v>
                </c:pt>
                <c:pt idx="8">
                  <c:v>0.5764667</c:v>
                </c:pt>
                <c:pt idx="9">
                  <c:v>0.60068010000000005</c:v>
                </c:pt>
                <c:pt idx="10">
                  <c:v>0.62422860000000002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50-9544-BA59-AAEE18ACBD46}"/>
            </c:ext>
          </c:extLst>
        </c:ser>
        <c:ser>
          <c:idx val="3"/>
          <c:order val="3"/>
          <c:tx>
            <c:v>eavesdropping bitphaseflip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'mismatch_ratios_eavesdroppi (2)'!$A$2:$A$12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'mismatch_ratios_eavesdroppi (2)'!$D$2:$D$12</c:f>
              <c:numCache>
                <c:formatCode>General</c:formatCode>
                <c:ptCount val="11"/>
                <c:pt idx="0">
                  <c:v>0.37536797</c:v>
                </c:pt>
                <c:pt idx="1">
                  <c:v>0.39963648000000002</c:v>
                </c:pt>
                <c:pt idx="2">
                  <c:v>0.42474394999999998</c:v>
                </c:pt>
                <c:pt idx="3">
                  <c:v>0.44874134999999998</c:v>
                </c:pt>
                <c:pt idx="4">
                  <c:v>0.47753978000000002</c:v>
                </c:pt>
                <c:pt idx="5">
                  <c:v>0.49739823</c:v>
                </c:pt>
                <c:pt idx="6">
                  <c:v>0.52675307000000005</c:v>
                </c:pt>
                <c:pt idx="7">
                  <c:v>0.55118319999999998</c:v>
                </c:pt>
                <c:pt idx="8">
                  <c:v>0.57543175999999996</c:v>
                </c:pt>
                <c:pt idx="9">
                  <c:v>0.59937686000000001</c:v>
                </c:pt>
                <c:pt idx="10">
                  <c:v>0.62522350000000004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50-9544-BA59-AAEE18ACB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51455"/>
        <c:axId val="636143999"/>
      </c:scatterChart>
      <c:valAx>
        <c:axId val="635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6143999"/>
        <c:crosses val="autoZero"/>
        <c:crossBetween val="midCat"/>
      </c:valAx>
      <c:valAx>
        <c:axId val="6361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635651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31750</xdr:colOff>
      <xdr:row>1</xdr:row>
      <xdr:rowOff>190500</xdr:rowOff>
    </xdr:from>
    <xdr:to>
      <xdr:col>14</xdr:col>
      <xdr:colOff>88900</xdr:colOff>
      <xdr:row>26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72A76-EB22-64C5-9B48-AC03475E13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28</xdr:row>
      <xdr:rowOff>0</xdr:rowOff>
    </xdr:from>
    <xdr:to>
      <xdr:col>14</xdr:col>
      <xdr:colOff>57150</xdr:colOff>
      <xdr:row>52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E51297-C4B2-0445-9D1C-6668DA5A17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54</xdr:row>
      <xdr:rowOff>0</xdr:rowOff>
    </xdr:from>
    <xdr:to>
      <xdr:col>14</xdr:col>
      <xdr:colOff>57150</xdr:colOff>
      <xdr:row>78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DC0D6B-B46F-984D-9B95-0365740F0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3ACC0C8-55C0-3E4D-A0B2-98FB1E48E862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35A9C2F-17DB-AD49-9586-7F243FC429D8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D148C5F0-04AE-9E44-A8C1-00582526DAB8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C90C1F8-EF01-BE44-BB2F-0BAC5A2D1664}" autoFormatId="16" applyNumberFormats="0" applyBorderFormats="0" applyFontFormats="0" applyPatternFormats="0" applyAlignmentFormats="0" applyWidthHeightFormats="0">
  <queryTableRefresh nextId="5">
    <queryTableFields count="4">
      <queryTableField id="1" name="p" tableColumnId="1"/>
      <queryTableField id="2" name="global_R_miss_mean" tableColumnId="2"/>
      <queryTableField id="3" name="Z_R_miss_mean" tableColumnId="3"/>
      <queryTableField id="4" name="X_R_miss_mean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6102D4-65A6-8B46-90FF-CFC399C66ACF}" name="mismatch_ratios_eavesdropping" displayName="mismatch_ratios_eavesdropping" ref="A1:D12" tableType="queryTable" totalsRowShown="0">
  <autoFilter ref="A1:D12" xr:uid="{F06102D4-65A6-8B46-90FF-CFC399C66ACF}"/>
  <tableColumns count="4">
    <tableColumn id="1" xr3:uid="{F080BBF8-15E9-9F41-B37C-D55DD0282566}" uniqueName="1" name="p" queryTableFieldId="1"/>
    <tableColumn id="2" xr3:uid="{DDF5FF66-64A6-7C48-83FE-A04219FCB42A}" uniqueName="2" name="global_R_miss_mean" queryTableFieldId="2"/>
    <tableColumn id="3" xr3:uid="{4F7BDFA3-E1DE-4A4A-B053-18CEEB2A8C30}" uniqueName="3" name="Z_R_miss_mean" queryTableFieldId="3"/>
    <tableColumn id="4" xr3:uid="{E837B45E-D4F0-AF49-B67B-9AC0718D43AF}" uniqueName="4" name="X_R_miss_mea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04BDCD-FE9D-5540-BC24-305948CBFCB7}" name="mismatch_ratios_eavesdropping_bitflip" displayName="mismatch_ratios_eavesdropping_bitflip" ref="A1:D12" tableType="queryTable" totalsRowShown="0">
  <autoFilter ref="A1:D12" xr:uid="{2504BDCD-FE9D-5540-BC24-305948CBFCB7}"/>
  <tableColumns count="4">
    <tableColumn id="1" xr3:uid="{F23C58DB-F5FF-6249-88B0-D6F9E8E98059}" uniqueName="1" name="p" queryTableFieldId="1"/>
    <tableColumn id="2" xr3:uid="{7D2D4358-B7E0-FC44-AD5E-39480926E23D}" uniqueName="2" name="global_R_miss_mean" queryTableFieldId="2"/>
    <tableColumn id="3" xr3:uid="{5766158D-B9DB-A04E-912D-E5BFA469D388}" uniqueName="3" name="Z_R_miss_mean" queryTableFieldId="3"/>
    <tableColumn id="4" xr3:uid="{579C5595-AF06-B243-8856-2C559EFEAB8B}" uniqueName="4" name="X_R_miss_mean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8CE7FD-07B1-2240-A704-0AF767085566}" name="mismatch_ratios_eavesdropping_phaseflip__2" displayName="mismatch_ratios_eavesdropping_phaseflip__2" ref="A1:D12" tableType="queryTable" totalsRowShown="0">
  <autoFilter ref="A1:D12" xr:uid="{C48CE7FD-07B1-2240-A704-0AF767085566}"/>
  <tableColumns count="4">
    <tableColumn id="1" xr3:uid="{46FC40E1-591A-0543-A307-C91A72AC1A03}" uniqueName="1" name="p" queryTableFieldId="1"/>
    <tableColumn id="2" xr3:uid="{8C38084B-354B-B34F-851B-939ECCBA616E}" uniqueName="2" name="global_R_miss_mean" queryTableFieldId="2"/>
    <tableColumn id="3" xr3:uid="{26F58790-075E-4241-BF72-693ABA34EB9C}" uniqueName="3" name="Z_R_miss_mean" queryTableFieldId="3"/>
    <tableColumn id="4" xr3:uid="{5777354C-0180-CB4E-A36C-C858812E9E70}" uniqueName="4" name="X_R_miss_mean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4582DA-9C5C-D142-9060-A1D069ADF98A}" name="mismatch_ratios_eavesdropping_bitphaseflip" displayName="mismatch_ratios_eavesdropping_bitphaseflip" ref="A1:D12" tableType="queryTable" totalsRowShown="0">
  <autoFilter ref="A1:D12" xr:uid="{094582DA-9C5C-D142-9060-A1D069ADF98A}"/>
  <tableColumns count="4">
    <tableColumn id="1" xr3:uid="{87915D9E-15E0-304A-B804-E3EC6314CD06}" uniqueName="1" name="p" queryTableFieldId="1"/>
    <tableColumn id="2" xr3:uid="{E97B699D-C368-0945-B26D-CE913C6FC70C}" uniqueName="2" name="global_R_miss_mean" queryTableFieldId="2"/>
    <tableColumn id="3" xr3:uid="{509B3542-24C0-8447-B833-2C4F8285EED5}" uniqueName="3" name="Z_R_miss_mean" queryTableFieldId="3"/>
    <tableColumn id="4" xr3:uid="{1FBA519E-6D22-B047-ABA3-8144AA3425C2}" uniqueName="4" name="X_R_miss_mean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2AC29-2472-054E-9CC9-36AD601FEB19}">
  <dimension ref="A1:D12"/>
  <sheetViews>
    <sheetView workbookViewId="0">
      <selection activeCell="E21" sqref="E21"/>
    </sheetView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0.37385020000000002</v>
      </c>
      <c r="C2">
        <v>0.37377055999999997</v>
      </c>
      <c r="D2">
        <v>0.3739555</v>
      </c>
    </row>
    <row r="3" spans="1:4" x14ac:dyDescent="0.2">
      <c r="A3">
        <v>0.1</v>
      </c>
      <c r="B3">
        <v>0.37404662</v>
      </c>
      <c r="C3">
        <v>0.37293340000000003</v>
      </c>
      <c r="D3">
        <v>0.37535499999999999</v>
      </c>
    </row>
    <row r="4" spans="1:4" x14ac:dyDescent="0.2">
      <c r="A4">
        <v>0.2</v>
      </c>
      <c r="B4">
        <v>0.37515670000000001</v>
      </c>
      <c r="C4">
        <v>0.37472572999999998</v>
      </c>
      <c r="D4">
        <v>0.37542394000000001</v>
      </c>
    </row>
    <row r="5" spans="1:4" x14ac:dyDescent="0.2">
      <c r="A5">
        <v>0.3</v>
      </c>
      <c r="B5">
        <v>0.37565022999999997</v>
      </c>
      <c r="C5">
        <v>0.37595729999999999</v>
      </c>
      <c r="D5">
        <v>0.37540188000000002</v>
      </c>
    </row>
    <row r="6" spans="1:4" x14ac:dyDescent="0.2">
      <c r="A6">
        <v>0.4</v>
      </c>
      <c r="B6">
        <v>0.37386975</v>
      </c>
      <c r="C6">
        <v>0.37378135000000001</v>
      </c>
      <c r="D6">
        <v>0.37388127999999998</v>
      </c>
    </row>
    <row r="7" spans="1:4" x14ac:dyDescent="0.2">
      <c r="A7">
        <v>0.5</v>
      </c>
      <c r="B7">
        <v>0.37410315999999999</v>
      </c>
      <c r="C7">
        <v>0.37429499999999999</v>
      </c>
      <c r="D7">
        <v>0.37401574999999998</v>
      </c>
    </row>
    <row r="8" spans="1:4" x14ac:dyDescent="0.2">
      <c r="A8">
        <v>0.6</v>
      </c>
      <c r="B8">
        <v>0.37370682</v>
      </c>
      <c r="C8">
        <v>0.37485829999999998</v>
      </c>
      <c r="D8">
        <v>0.3723957</v>
      </c>
    </row>
    <row r="9" spans="1:4" x14ac:dyDescent="0.2">
      <c r="A9">
        <v>0.7</v>
      </c>
      <c r="B9">
        <v>0.37645023999999999</v>
      </c>
      <c r="C9">
        <v>0.3766198</v>
      </c>
      <c r="D9">
        <v>0.37623844000000001</v>
      </c>
    </row>
    <row r="10" spans="1:4" x14ac:dyDescent="0.2">
      <c r="A10">
        <v>0.8</v>
      </c>
      <c r="B10">
        <v>0.37641313999999998</v>
      </c>
      <c r="C10">
        <v>0.37653318000000002</v>
      </c>
      <c r="D10">
        <v>0.37633112000000002</v>
      </c>
    </row>
    <row r="11" spans="1:4" x14ac:dyDescent="0.2">
      <c r="A11">
        <v>0.9</v>
      </c>
      <c r="B11">
        <v>0.37521660000000001</v>
      </c>
      <c r="C11">
        <v>0.37495118</v>
      </c>
      <c r="D11">
        <v>0.37548229999999999</v>
      </c>
    </row>
    <row r="12" spans="1:4" x14ac:dyDescent="0.2">
      <c r="A12">
        <v>1</v>
      </c>
      <c r="B12">
        <v>0.37609981999999997</v>
      </c>
      <c r="C12">
        <v>0.37755933000000003</v>
      </c>
      <c r="D12">
        <v>0.37473564999999998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2291C-6A87-F243-AD46-47C8AB3AD90F}">
  <dimension ref="A1:D12"/>
  <sheetViews>
    <sheetView workbookViewId="0"/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0.37766346000000001</v>
      </c>
      <c r="C2">
        <v>0.37689233</v>
      </c>
      <c r="D2">
        <v>0.37850257999999998</v>
      </c>
    </row>
    <row r="3" spans="1:4" x14ac:dyDescent="0.2">
      <c r="A3">
        <v>0.1</v>
      </c>
      <c r="B3">
        <v>0.38714007</v>
      </c>
      <c r="C3">
        <v>0.40015995999999998</v>
      </c>
      <c r="D3">
        <v>0.37426922000000001</v>
      </c>
    </row>
    <row r="4" spans="1:4" x14ac:dyDescent="0.2">
      <c r="A4">
        <v>0.2</v>
      </c>
      <c r="B4">
        <v>0.40151693999999999</v>
      </c>
      <c r="C4">
        <v>0.42676243000000003</v>
      </c>
      <c r="D4">
        <v>0.37622317999999999</v>
      </c>
    </row>
    <row r="5" spans="1:4" x14ac:dyDescent="0.2">
      <c r="A5">
        <v>0.3</v>
      </c>
      <c r="B5">
        <v>0.41242337000000001</v>
      </c>
      <c r="C5">
        <v>0.45064347999999999</v>
      </c>
      <c r="D5">
        <v>0.37410018</v>
      </c>
    </row>
    <row r="6" spans="1:4" x14ac:dyDescent="0.2">
      <c r="A6">
        <v>0.4</v>
      </c>
      <c r="B6">
        <v>0.42541325000000002</v>
      </c>
      <c r="C6">
        <v>0.47668486999999998</v>
      </c>
      <c r="D6">
        <v>0.37432634999999997</v>
      </c>
    </row>
    <row r="7" spans="1:4" x14ac:dyDescent="0.2">
      <c r="A7">
        <v>0.5</v>
      </c>
      <c r="B7">
        <v>0.43536994000000001</v>
      </c>
      <c r="C7">
        <v>0.49660113</v>
      </c>
      <c r="D7">
        <v>0.37401336000000002</v>
      </c>
    </row>
    <row r="8" spans="1:4" x14ac:dyDescent="0.2">
      <c r="A8">
        <v>0.6</v>
      </c>
      <c r="B8">
        <v>0.44979984000000001</v>
      </c>
      <c r="C8">
        <v>0.52374069999999995</v>
      </c>
      <c r="D8">
        <v>0.37527474999999999</v>
      </c>
    </row>
    <row r="9" spans="1:4" x14ac:dyDescent="0.2">
      <c r="A9">
        <v>0.7</v>
      </c>
      <c r="B9">
        <v>0.46240989999999998</v>
      </c>
      <c r="C9">
        <v>0.54866970000000004</v>
      </c>
      <c r="D9">
        <v>0.37652677000000001</v>
      </c>
    </row>
    <row r="10" spans="1:4" x14ac:dyDescent="0.2">
      <c r="A10">
        <v>0.8</v>
      </c>
      <c r="B10">
        <v>0.47388348000000002</v>
      </c>
      <c r="C10">
        <v>0.57181709999999997</v>
      </c>
      <c r="D10">
        <v>0.37603229999999999</v>
      </c>
    </row>
    <row r="11" spans="1:4" x14ac:dyDescent="0.2">
      <c r="A11">
        <v>0.9</v>
      </c>
      <c r="B11">
        <v>0.48657006000000003</v>
      </c>
      <c r="C11">
        <v>0.59860234999999995</v>
      </c>
      <c r="D11">
        <v>0.37506703000000002</v>
      </c>
    </row>
    <row r="12" spans="1:4" x14ac:dyDescent="0.2">
      <c r="A12">
        <v>1</v>
      </c>
      <c r="B12">
        <v>0.50075000000000003</v>
      </c>
      <c r="C12">
        <v>0.62699353999999996</v>
      </c>
      <c r="D12">
        <v>0.37526247000000001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319-E92F-F743-91C7-BA8882CABC61}">
  <dimension ref="A1:D12"/>
  <sheetViews>
    <sheetView workbookViewId="0">
      <selection activeCell="I13" sqref="I13"/>
    </sheetView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0.37537688000000002</v>
      </c>
      <c r="C2">
        <v>0.37638050000000001</v>
      </c>
      <c r="D2">
        <v>0.37437034000000002</v>
      </c>
    </row>
    <row r="3" spans="1:4" x14ac:dyDescent="0.2">
      <c r="A3">
        <v>0.1</v>
      </c>
      <c r="B3">
        <v>0.38728679999999999</v>
      </c>
      <c r="C3">
        <v>0.37369936999999998</v>
      </c>
      <c r="D3">
        <v>0.40097182999999997</v>
      </c>
    </row>
    <row r="4" spans="1:4" x14ac:dyDescent="0.2">
      <c r="A4">
        <v>0.2</v>
      </c>
      <c r="B4">
        <v>0.40001655000000003</v>
      </c>
      <c r="C4">
        <v>0.37607523999999998</v>
      </c>
      <c r="D4">
        <v>0.42406768</v>
      </c>
    </row>
    <row r="5" spans="1:4" x14ac:dyDescent="0.2">
      <c r="A5">
        <v>0.3</v>
      </c>
      <c r="B5">
        <v>0.41227330000000001</v>
      </c>
      <c r="C5">
        <v>0.37527781999999998</v>
      </c>
      <c r="D5">
        <v>0.44943126999999999</v>
      </c>
    </row>
    <row r="6" spans="1:4" x14ac:dyDescent="0.2">
      <c r="A6">
        <v>0.4</v>
      </c>
      <c r="B6">
        <v>0.42565003000000001</v>
      </c>
      <c r="C6">
        <v>0.37687140000000002</v>
      </c>
      <c r="D6">
        <v>0.47461903</v>
      </c>
    </row>
    <row r="7" spans="1:4" x14ac:dyDescent="0.2">
      <c r="A7">
        <v>0.5</v>
      </c>
      <c r="B7">
        <v>0.43757017999999998</v>
      </c>
      <c r="C7">
        <v>0.37429430000000002</v>
      </c>
      <c r="D7">
        <v>0.50107913999999998</v>
      </c>
    </row>
    <row r="8" spans="1:4" x14ac:dyDescent="0.2">
      <c r="A8">
        <v>0.6</v>
      </c>
      <c r="B8">
        <v>0.45079364999999999</v>
      </c>
      <c r="C8">
        <v>0.37657762</v>
      </c>
      <c r="D8">
        <v>0.52504843000000001</v>
      </c>
    </row>
    <row r="9" spans="1:4" x14ac:dyDescent="0.2">
      <c r="A9">
        <v>0.7</v>
      </c>
      <c r="B9">
        <v>0.46296011999999997</v>
      </c>
      <c r="C9">
        <v>0.37553294999999998</v>
      </c>
      <c r="D9">
        <v>0.55103725000000003</v>
      </c>
    </row>
    <row r="10" spans="1:4" x14ac:dyDescent="0.2">
      <c r="A10">
        <v>0.8</v>
      </c>
      <c r="B10">
        <v>0.47588320000000001</v>
      </c>
      <c r="C10">
        <v>0.37490733999999998</v>
      </c>
      <c r="D10">
        <v>0.5764667</v>
      </c>
    </row>
    <row r="11" spans="1:4" x14ac:dyDescent="0.2">
      <c r="A11">
        <v>0.9</v>
      </c>
      <c r="B11">
        <v>0.48795366000000001</v>
      </c>
      <c r="C11">
        <v>0.37542449999999999</v>
      </c>
      <c r="D11">
        <v>0.60068010000000005</v>
      </c>
    </row>
    <row r="12" spans="1:4" x14ac:dyDescent="0.2">
      <c r="A12">
        <v>1</v>
      </c>
      <c r="B12">
        <v>0.50061655000000005</v>
      </c>
      <c r="C12">
        <v>0.37608965999999999</v>
      </c>
      <c r="D12">
        <v>0.62422860000000002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7529-175E-1B45-B0AF-65749F81BF40}">
  <dimension ref="A1:D12"/>
  <sheetViews>
    <sheetView workbookViewId="0">
      <selection activeCell="M33" sqref="M33"/>
    </sheetView>
  </sheetViews>
  <sheetFormatPr baseColWidth="10" defaultRowHeight="16" x14ac:dyDescent="0.2"/>
  <cols>
    <col min="1" max="1" width="4.6640625" bestFit="1" customWidth="1"/>
    <col min="2" max="2" width="21.33203125" bestFit="1" customWidth="1"/>
    <col min="3" max="4" width="17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0.37492989999999998</v>
      </c>
      <c r="C2">
        <v>0.37455189999999999</v>
      </c>
      <c r="D2">
        <v>0.37536797</v>
      </c>
    </row>
    <row r="3" spans="1:4" x14ac:dyDescent="0.2">
      <c r="A3">
        <v>0.1</v>
      </c>
      <c r="B3">
        <v>0.39950970000000002</v>
      </c>
      <c r="C3">
        <v>0.39938873000000003</v>
      </c>
      <c r="D3">
        <v>0.39963648000000002</v>
      </c>
    </row>
    <row r="4" spans="1:4" x14ac:dyDescent="0.2">
      <c r="A4">
        <v>0.2</v>
      </c>
      <c r="B4">
        <v>0.42418</v>
      </c>
      <c r="C4">
        <v>0.42361847000000002</v>
      </c>
      <c r="D4">
        <v>0.42474394999999998</v>
      </c>
    </row>
    <row r="5" spans="1:4" x14ac:dyDescent="0.2">
      <c r="A5">
        <v>0.3</v>
      </c>
      <c r="B5">
        <v>0.44961000000000001</v>
      </c>
      <c r="C5">
        <v>0.45057142</v>
      </c>
      <c r="D5">
        <v>0.44874134999999998</v>
      </c>
    </row>
    <row r="6" spans="1:4" x14ac:dyDescent="0.2">
      <c r="A6">
        <v>0.4</v>
      </c>
      <c r="B6">
        <v>0.47657716</v>
      </c>
      <c r="C6">
        <v>0.47570040000000002</v>
      </c>
      <c r="D6">
        <v>0.47753978000000002</v>
      </c>
    </row>
    <row r="7" spans="1:4" x14ac:dyDescent="0.2">
      <c r="A7">
        <v>0.5</v>
      </c>
      <c r="B7">
        <v>0.49843657000000002</v>
      </c>
      <c r="C7">
        <v>0.49938726</v>
      </c>
      <c r="D7">
        <v>0.49739823</v>
      </c>
    </row>
    <row r="8" spans="1:4" x14ac:dyDescent="0.2">
      <c r="A8">
        <v>0.6</v>
      </c>
      <c r="B8">
        <v>0.52581299999999997</v>
      </c>
      <c r="C8">
        <v>0.52503675000000005</v>
      </c>
      <c r="D8">
        <v>0.52675307000000005</v>
      </c>
    </row>
    <row r="9" spans="1:4" x14ac:dyDescent="0.2">
      <c r="A9">
        <v>0.7</v>
      </c>
      <c r="B9">
        <v>0.55015009999999998</v>
      </c>
      <c r="C9">
        <v>0.54906960000000005</v>
      </c>
      <c r="D9">
        <v>0.55118319999999998</v>
      </c>
    </row>
    <row r="10" spans="1:4" x14ac:dyDescent="0.2">
      <c r="A10">
        <v>0.8</v>
      </c>
      <c r="B10">
        <v>0.57613957000000005</v>
      </c>
      <c r="C10">
        <v>0.57680469999999995</v>
      </c>
      <c r="D10">
        <v>0.57543175999999996</v>
      </c>
    </row>
    <row r="11" spans="1:4" x14ac:dyDescent="0.2">
      <c r="A11">
        <v>0.9</v>
      </c>
      <c r="B11">
        <v>0.59931000000000001</v>
      </c>
      <c r="C11">
        <v>0.5991744</v>
      </c>
      <c r="D11">
        <v>0.59937686000000001</v>
      </c>
    </row>
    <row r="12" spans="1:4" x14ac:dyDescent="0.2">
      <c r="A12">
        <v>1</v>
      </c>
      <c r="B12">
        <v>0.62451020000000002</v>
      </c>
      <c r="C12">
        <v>0.62381333000000005</v>
      </c>
      <c r="D12">
        <v>0.62522350000000004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0C4CD-E9E9-2F4C-8E92-F13B6983F53F}">
  <dimension ref="A1"/>
  <sheetViews>
    <sheetView tabSelected="1" zoomScale="118" workbookViewId="0">
      <selection activeCell="Q57" sqref="Q5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CFB984-DCFF-A345-997E-ED462B2747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mismatch_ratios_eavesdropping</vt:lpstr>
      <vt:lpstr>mismatch_ratios_eavesdropping_b</vt:lpstr>
      <vt:lpstr>mismatch_ratios_eavesdropping_p</vt:lpstr>
      <vt:lpstr>mismatch_ratios_eavesdroppi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 Mazzanti</dc:creator>
  <cp:lastModifiedBy>Carlo Mazzanti</cp:lastModifiedBy>
  <dcterms:created xsi:type="dcterms:W3CDTF">2025-12-17T14:28:16Z</dcterms:created>
  <dcterms:modified xsi:type="dcterms:W3CDTF">2026-01-05T10:41:00Z</dcterms:modified>
</cp:coreProperties>
</file>